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sshukla\Documents\hydralit\"/>
    </mc:Choice>
  </mc:AlternateContent>
  <xr:revisionPtr revIDLastSave="0" documentId="13_ncr:1_{417B8DCB-7DC4-449D-AACE-A31C766FA6F4}" xr6:coauthVersionLast="47" xr6:coauthVersionMax="47" xr10:uidLastSave="{00000000-0000-0000-0000-000000000000}"/>
  <bookViews>
    <workbookView xWindow="28680" yWindow="-120" windowWidth="29040" windowHeight="1572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<sst xmlns="http://schemas.openxmlformats.org/spreadsheetml/2006/main" count="1402" uniqueCount="1104">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</sst>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2">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203200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279400</xdr:colOff>
          <xdr:row>4</xdr:row>
          <xdr:rowOff>165100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1593850</xdr:colOff>
          <xdr:row>4</xdr:row>
          <xdr:rowOff>203200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222250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5" dataDxfId="4">
  <autoFilter ref="N4:Q99" xr:uid="{00000000-0009-0000-0100-000003000000}"/>
  <sortState xmlns:xlrd2="http://schemas.microsoft.com/office/spreadsheetml/2017/richdata2" ref="N5:Q99">
    <sortCondition ref="N4:N99"/>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AM1" zoomScaleNormal="100" workbookViewId="0">
      <pane ySplit="6" topLeftCell="A8" activePane="bottomLeft" state="frozen"/>
      <selection pane="bottomLeft" activeCell="B8" sqref="B8:CW8"/>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1" ht="18" customHeight="1" thickBot="1">
      <c r="A1" s="89"/>
      <c r="B1" s="90" t="s">
        <v>799</v>
      </c>
      <c r="C1" s="91" t="s">
        <v>568</v>
      </c>
      <c r="D1" s="92" t="e">
        <f>VLOOKUP(C1,vesseldata,3,FALSE)</f>
        <v>#N/A</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1" ht="18" customHeight="1" thickBot="1">
      <c r="A2" s="89"/>
      <c r="B2" s="96" t="s">
        <v>297</v>
      </c>
      <c r="C2" s="97" t="e">
        <f>VLOOKUP($C$1,vesseldata,4,FALSE)</f>
        <v>#N/A</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1" ht="18" customHeight="1" thickBot="1">
      <c r="A3" s="89"/>
      <c r="B3" s="96" t="s">
        <v>298</v>
      </c>
      <c r="C3" s="92">
        <f ca="1">TODAY()</f>
        <v>44649</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1"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1" ht="18" customHeight="1">
      <c r="A5" s="89"/>
      <c r="B5" s="102" t="s">
        <v>481</v>
      </c>
      <c r="C5" s="103" t="e">
        <f>VLOOKUP($C$1,vesseldata,2,FALSE)</f>
        <v>#N/A</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1"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1"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t="e">
        <f>$C$5</f>
        <v>#N/A</v>
      </c>
      <c r="AV7" s="111" t="str">
        <f>$C$1</f>
        <v/>
      </c>
      <c r="AW7" s="112" t="e">
        <f>$C$2</f>
        <v>#N/A</v>
      </c>
      <c r="AX7" s="87">
        <f ca="1">$C$3</f>
        <v>44649</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1" s="118" customFormat="1" ht="15" customHeight="1">
      <c r="A8" s="117" t="s">
        <v>1060</v>
      </c>
      <c r="B8" s="126"/>
      <c r="C8" s="126"/>
      <c r="D8" s="126"/>
      <c r="E8" s="126"/>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c r="BK8" s="126"/>
      <c r="BL8" s="126"/>
      <c r="BM8" s="126"/>
      <c r="BN8" s="126"/>
      <c r="BO8" s="126"/>
      <c r="BP8" s="126"/>
      <c r="BQ8" s="126"/>
      <c r="BR8" s="126"/>
      <c r="BS8" s="126"/>
      <c r="BT8" s="126"/>
      <c r="BU8" s="126"/>
      <c r="BV8" s="126"/>
      <c r="BW8" s="126"/>
      <c r="BX8" s="126"/>
      <c r="BY8" s="126"/>
      <c r="BZ8" s="126"/>
      <c r="CA8" s="126"/>
      <c r="CB8" s="126"/>
      <c r="CC8" s="126"/>
      <c r="CD8" s="126"/>
      <c r="CE8" s="126"/>
      <c r="CF8" s="126"/>
      <c r="CG8" s="126"/>
      <c r="CH8" s="126"/>
      <c r="CI8" s="126"/>
      <c r="CJ8" s="126"/>
      <c r="CK8" s="126"/>
      <c r="CL8" s="126"/>
      <c r="CM8" s="126"/>
      <c r="CN8" s="126"/>
      <c r="CO8" s="126"/>
      <c r="CP8" s="126"/>
      <c r="CQ8" s="126"/>
      <c r="CR8" s="126"/>
      <c r="CS8" s="126"/>
      <c r="CT8" s="126"/>
      <c r="CU8" s="126"/>
      <c r="CV8" s="126"/>
      <c r="CW8" s="126"/>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r:id="rId5">
            <anchor moveWithCells="1">
              <from>
                <xdr:col>10</xdr:col>
                <xdr:colOff>1631950</xdr:colOff>
                <xdr:row>1</xdr:row>
                <xdr:rowOff>57150</xdr:rowOff>
              </from>
              <to>
                <xdr:col>13</xdr:col>
                <xdr:colOff>266700</xdr:colOff>
                <xdr:row>2</xdr:row>
                <xdr:rowOff>190500</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19050</xdr:colOff>
                <xdr:row>3</xdr:row>
                <xdr:rowOff>38100</xdr:rowOff>
              </from>
              <to>
                <xdr:col>10</xdr:col>
                <xdr:colOff>1593850</xdr:colOff>
                <xdr:row>4</xdr:row>
                <xdr:rowOff>203200</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1543050</xdr:colOff>
                <xdr:row>2</xdr:row>
                <xdr:rowOff>203200</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3</xdr:col>
                <xdr:colOff>0</xdr:colOff>
                <xdr:row>0</xdr:row>
                <xdr:rowOff>222250</xdr:rowOff>
              </to>
            </anchor>
          </controlPr>
        </control>
      </mc:Choice>
      <mc:Fallback>
        <control shapeId="8299" r:id="rId12"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39">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8" priority="22"/>
  </conditionalFormatting>
  <conditionalFormatting sqref="N52:Q97">
    <cfRule type="duplicateValues" dxfId="7" priority="2"/>
  </conditionalFormatting>
  <conditionalFormatting sqref="O98">
    <cfRule type="duplicateValues" dxfId="6"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2.xml><?xml version="1.0" encoding="utf-8"?>
<ds:datastoreItem xmlns:ds="http://schemas.openxmlformats.org/officeDocument/2006/customXml" ds:itemID="{C2157E39-E796-4D19-A734-BD0A23FF56A7}">
  <ds:schemaRefs>
    <ds:schemaRef ds:uri="http://schemas.microsoft.com/DataMashup"/>
  </ds:schemaRefs>
</ds:datastoreItem>
</file>

<file path=customXml/itemProps3.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4.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2022-03-29T11:59:38Z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